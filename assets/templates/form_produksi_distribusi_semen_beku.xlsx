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2026\kirim bu nelyy\"/>
    </mc:Choice>
  </mc:AlternateContent>
  <xr:revisionPtr revIDLastSave="0" documentId="13_ncr:1_{F10DD039-14C2-423C-9D4E-937C0563B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63" r:id="rId1"/>
  </sheets>
  <definedNames>
    <definedName name="_xlnm.Print_Area" localSheetId="0">data!$A$3:$O$37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9" i="63" l="1"/>
  <c r="M29" i="63"/>
  <c r="J29" i="63"/>
  <c r="J14" i="63"/>
  <c r="J22" i="63" l="1"/>
  <c r="J9" i="63"/>
  <c r="J8" i="63"/>
  <c r="J7" i="63"/>
  <c r="O8" i="63" l="1"/>
  <c r="J45" i="63"/>
  <c r="I29" i="63"/>
  <c r="H29" i="63"/>
  <c r="G29" i="63"/>
  <c r="F29" i="63"/>
  <c r="E29" i="63"/>
  <c r="C29" i="63"/>
  <c r="O28" i="63"/>
  <c r="O27" i="63"/>
  <c r="O26" i="63"/>
  <c r="J25" i="63"/>
  <c r="O25" i="63" s="1"/>
  <c r="J24" i="63"/>
  <c r="O24" i="63" s="1"/>
  <c r="J23" i="63"/>
  <c r="O23" i="63" s="1"/>
  <c r="O22" i="63"/>
  <c r="O20" i="63"/>
  <c r="N20" i="63"/>
  <c r="O19" i="63"/>
  <c r="O18" i="63"/>
  <c r="O17" i="63"/>
  <c r="N17" i="63"/>
  <c r="J17" i="63"/>
  <c r="O16" i="63"/>
  <c r="N15" i="63"/>
  <c r="O15" i="63" s="1"/>
  <c r="J15" i="63"/>
  <c r="O14" i="63"/>
  <c r="N14" i="63"/>
  <c r="O12" i="63"/>
  <c r="N10" i="63"/>
  <c r="O10" i="63" s="1"/>
  <c r="N9" i="63"/>
  <c r="O9" i="63" s="1"/>
  <c r="N8" i="63"/>
  <c r="N7" i="63"/>
  <c r="O7" i="63" s="1"/>
  <c r="O29" i="63" l="1"/>
</calcChain>
</file>

<file path=xl/sharedStrings.xml><?xml version="1.0" encoding="utf-8"?>
<sst xmlns="http://schemas.openxmlformats.org/spreadsheetml/2006/main" count="188" uniqueCount="45">
  <si>
    <t>RUMPUN</t>
  </si>
  <si>
    <t>JUMLAH PEJANTAN</t>
  </si>
  <si>
    <t>STOCK</t>
  </si>
  <si>
    <t>PRODUKSI MINGGUAN</t>
  </si>
  <si>
    <t>JUMLAH</t>
  </si>
  <si>
    <t>I</t>
  </si>
  <si>
    <t>II</t>
  </si>
  <si>
    <t>III</t>
  </si>
  <si>
    <t>SAPI POTONG</t>
  </si>
  <si>
    <t>PERANAKAN ONGOLE</t>
  </si>
  <si>
    <t>SIMMENTAL</t>
  </si>
  <si>
    <t>LIMOUSIN</t>
  </si>
  <si>
    <t>KERBAU</t>
  </si>
  <si>
    <t>SEXING</t>
  </si>
  <si>
    <t>SIMMENTAL Sexing</t>
  </si>
  <si>
    <t>NON-LSPro</t>
  </si>
  <si>
    <t>DISTRIBUSI BULANAN</t>
  </si>
  <si>
    <t>KOMANDAN</t>
  </si>
  <si>
    <t>NON SIKOMANDAN</t>
  </si>
  <si>
    <t>-</t>
  </si>
  <si>
    <t>Total</t>
  </si>
  <si>
    <t xml:space="preserve">Mengetahui, </t>
  </si>
  <si>
    <t>Kepala Balai Inseminasi Buatan</t>
  </si>
  <si>
    <t>AFKIR</t>
  </si>
  <si>
    <t>Kepala Seksi Produksi dan Distribusi</t>
  </si>
  <si>
    <t>PERANAKAN ONGOLE Sexing</t>
  </si>
  <si>
    <t xml:space="preserve"> BALI</t>
  </si>
  <si>
    <t>V</t>
  </si>
  <si>
    <t xml:space="preserve"> KAMBING BOER</t>
  </si>
  <si>
    <t>drh. Sasongko Nugroho</t>
  </si>
  <si>
    <t>NIP. 19790523 200803 1 002</t>
  </si>
  <si>
    <t xml:space="preserve">LIMOUSIN Sexing </t>
  </si>
  <si>
    <t>MADURA Sexing</t>
  </si>
  <si>
    <t>IV</t>
  </si>
  <si>
    <t xml:space="preserve">  MADURA</t>
  </si>
  <si>
    <t xml:space="preserve"> KERBAU KALIMANTAN</t>
  </si>
  <si>
    <t>LIMOUSIN Sexing  (NON SNI)</t>
  </si>
  <si>
    <t>SIMMENTAL Sexing  (NON SNI)</t>
  </si>
  <si>
    <t xml:space="preserve"> MADURA</t>
  </si>
  <si>
    <t>BALI Sexing</t>
  </si>
  <si>
    <t>STOCK 2026</t>
  </si>
  <si>
    <t>Nelly Yanur, S.Pt</t>
  </si>
  <si>
    <t>NIP. 19830105 200604 2 012</t>
  </si>
  <si>
    <t>BULAN JULI 2026</t>
  </si>
  <si>
    <t>Banjarbaru,31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</si>
</sst>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165" fontId="2" fillId="0" borderId="0" xfId="1" applyNumberFormat="1" applyFont="1" applyAlignment="1">
      <alignment horizontal="right"/>
    </xf>
    <xf numFmtId="165" fontId="3" fillId="3" borderId="9" xfId="1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3" fillId="4" borderId="1" xfId="1" applyNumberFormat="1" applyFont="1" applyFill="1" applyBorder="1" applyAlignment="1">
      <alignment horizontal="center" vertical="center" wrapText="1"/>
    </xf>
    <xf numFmtId="165" fontId="3" fillId="4" borderId="1" xfId="1" applyNumberFormat="1" applyFont="1" applyFill="1" applyBorder="1" applyAlignment="1">
      <alignment horizontal="center" vertical="center"/>
    </xf>
    <xf numFmtId="165" fontId="3" fillId="4" borderId="9" xfId="1" applyNumberFormat="1" applyFont="1" applyFill="1" applyBorder="1" applyAlignment="1">
      <alignment horizontal="center" vertical="center" wrapText="1"/>
    </xf>
    <xf numFmtId="165" fontId="3" fillId="4" borderId="10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Fill="1" applyBorder="1"/>
    <xf numFmtId="165" fontId="5" fillId="0" borderId="1" xfId="1" applyNumberFormat="1" applyFont="1" applyFill="1" applyBorder="1" applyAlignment="1">
      <alignment horizontal="right"/>
    </xf>
    <xf numFmtId="165" fontId="3" fillId="4" borderId="1" xfId="1" applyNumberFormat="1" applyFont="1" applyFill="1" applyBorder="1"/>
    <xf numFmtId="165" fontId="2" fillId="4" borderId="1" xfId="1" applyNumberFormat="1" applyFont="1" applyFill="1" applyBorder="1" applyAlignment="1">
      <alignment horizontal="right"/>
    </xf>
    <xf numFmtId="165" fontId="2" fillId="0" borderId="1" xfId="1" applyNumberFormat="1" applyFont="1" applyFill="1" applyBorder="1" applyAlignment="1">
      <alignment horizontal="right"/>
    </xf>
    <xf numFmtId="165" fontId="3" fillId="4" borderId="1" xfId="1" applyNumberFormat="1" applyFont="1" applyFill="1" applyBorder="1" applyAlignment="1">
      <alignment horizontal="right"/>
    </xf>
    <xf numFmtId="165" fontId="4" fillId="4" borderId="1" xfId="1" applyNumberFormat="1" applyFont="1" applyFill="1" applyBorder="1"/>
    <xf numFmtId="165" fontId="4" fillId="4" borderId="1" xfId="1" applyNumberFormat="1" applyFont="1" applyFill="1" applyBorder="1" applyAlignment="1">
      <alignment horizontal="right"/>
    </xf>
    <xf numFmtId="165" fontId="2" fillId="0" borderId="2" xfId="1" applyNumberFormat="1" applyFont="1" applyFill="1" applyBorder="1"/>
    <xf numFmtId="0" fontId="2" fillId="0" borderId="1" xfId="0" applyFont="1" applyBorder="1"/>
    <xf numFmtId="0" fontId="3" fillId="4" borderId="1" xfId="0" applyFont="1" applyFill="1" applyBorder="1"/>
    <xf numFmtId="0" fontId="2" fillId="0" borderId="1" xfId="0" applyFont="1" applyBorder="1" applyAlignment="1">
      <alignment horizontal="right"/>
    </xf>
    <xf numFmtId="165" fontId="2" fillId="5" borderId="1" xfId="1" applyNumberFormat="1" applyFont="1" applyFill="1" applyBorder="1" applyAlignment="1">
      <alignment horizontal="right"/>
    </xf>
    <xf numFmtId="165" fontId="2" fillId="6" borderId="1" xfId="1" applyNumberFormat="1" applyFont="1" applyFill="1" applyBorder="1"/>
    <xf numFmtId="165" fontId="0" fillId="0" borderId="0" xfId="0" applyNumberFormat="1"/>
    <xf numFmtId="165" fontId="3" fillId="3" borderId="2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5" borderId="1" xfId="1" applyNumberFormat="1" applyFont="1" applyFill="1" applyBorder="1" applyAlignment="1">
      <alignment horizontal="center"/>
    </xf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1" fontId="4" fillId="4" borderId="1" xfId="1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Border="1" applyAlignment="1">
      <alignment horizontal="right" vertical="center"/>
    </xf>
    <xf numFmtId="165" fontId="3" fillId="4" borderId="9" xfId="1" applyNumberFormat="1" applyFont="1" applyFill="1" applyBorder="1" applyAlignment="1">
      <alignment horizontal="right" vertical="center"/>
    </xf>
    <xf numFmtId="165" fontId="3" fillId="3" borderId="1" xfId="1" applyNumberFormat="1" applyFont="1" applyFill="1" applyBorder="1" applyAlignment="1">
      <alignment horizontal="center" vertical="center" wrapText="1"/>
    </xf>
    <xf numFmtId="165" fontId="3" fillId="3" borderId="10" xfId="1" applyNumberFormat="1" applyFont="1" applyFill="1" applyBorder="1" applyAlignment="1">
      <alignment horizontal="center" vertical="center" wrapText="1"/>
    </xf>
    <xf numFmtId="1" fontId="4" fillId="4" borderId="1" xfId="1" applyNumberFormat="1" applyFont="1" applyFill="1" applyBorder="1" applyAlignment="1">
      <alignment horizontal="right" vertical="center"/>
    </xf>
    <xf numFmtId="0" fontId="6" fillId="0" borderId="0" xfId="0" applyFont="1"/>
    <xf numFmtId="0" fontId="7" fillId="4" borderId="1" xfId="0" applyFont="1" applyFill="1" applyBorder="1"/>
    <xf numFmtId="0" fontId="7" fillId="4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65" fontId="2" fillId="0" borderId="1" xfId="1" applyNumberFormat="1" applyFont="1" applyFill="1" applyBorder="1" applyAlignment="1"/>
    <xf numFmtId="165" fontId="2" fillId="5" borderId="1" xfId="1" applyNumberFormat="1" applyFont="1" applyFill="1" applyBorder="1" applyAlignment="1">
      <alignment horizontal="right" vertical="center"/>
    </xf>
    <xf numFmtId="0" fontId="8" fillId="0" borderId="0" xfId="0" applyFont="1"/>
    <xf numFmtId="165" fontId="6" fillId="0" borderId="0" xfId="0" applyNumberFormat="1" applyFont="1"/>
    <xf numFmtId="0" fontId="5" fillId="6" borderId="0" xfId="0" applyFont="1" applyFill="1"/>
    <xf numFmtId="0" fontId="3" fillId="5" borderId="3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165" fontId="3" fillId="0" borderId="0" xfId="1" applyNumberFormat="1" applyFont="1" applyBorder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65" fontId="3" fillId="3" borderId="1" xfId="1" applyNumberFormat="1" applyFont="1" applyFill="1" applyBorder="1" applyAlignment="1">
      <alignment horizontal="center" vertical="center" wrapText="1"/>
    </xf>
    <xf numFmtId="165" fontId="3" fillId="4" borderId="3" xfId="1" applyNumberFormat="1" applyFont="1" applyFill="1" applyBorder="1" applyAlignment="1">
      <alignment horizontal="center" vertical="center"/>
    </xf>
    <xf numFmtId="165" fontId="3" fillId="4" borderId="4" xfId="1" applyNumberFormat="1" applyFont="1" applyFill="1" applyBorder="1" applyAlignment="1">
      <alignment horizontal="center" vertical="center"/>
    </xf>
    <xf numFmtId="165" fontId="3" fillId="4" borderId="5" xfId="1" applyNumberFormat="1" applyFont="1" applyFill="1" applyBorder="1" applyAlignment="1">
      <alignment horizontal="center" vertical="center"/>
    </xf>
    <xf numFmtId="165" fontId="3" fillId="3" borderId="6" xfId="1" applyNumberFormat="1" applyFont="1" applyFill="1" applyBorder="1" applyAlignment="1">
      <alignment horizontal="center" vertical="center" wrapText="1"/>
    </xf>
    <xf numFmtId="165" fontId="3" fillId="3" borderId="8" xfId="1" applyNumberFormat="1" applyFont="1" applyFill="1" applyBorder="1" applyAlignment="1">
      <alignment horizontal="center" vertical="center" wrapText="1"/>
    </xf>
    <xf numFmtId="165" fontId="3" fillId="3" borderId="10" xfId="1" applyNumberFormat="1" applyFont="1" applyFill="1" applyBorder="1" applyAlignment="1">
      <alignment horizontal="center" vertical="center" wrapText="1"/>
    </xf>
    <xf numFmtId="165" fontId="4" fillId="3" borderId="3" xfId="1" applyNumberFormat="1" applyFont="1" applyFill="1" applyBorder="1" applyAlignment="1">
      <alignment horizontal="center" vertical="center" wrapText="1"/>
    </xf>
    <xf numFmtId="165" fontId="4" fillId="3" borderId="4" xfId="1" applyNumberFormat="1" applyFont="1" applyFill="1" applyBorder="1" applyAlignment="1">
      <alignment horizontal="center" vertical="center" wrapText="1"/>
    </xf>
    <xf numFmtId="165" fontId="4" fillId="3" borderId="5" xfId="1" applyNumberFormat="1" applyFont="1" applyFill="1" applyBorder="1" applyAlignment="1">
      <alignment horizontal="center" vertical="center" wrapText="1"/>
    </xf>
    <xf numFmtId="165" fontId="3" fillId="3" borderId="2" xfId="1" applyNumberFormat="1" applyFont="1" applyFill="1" applyBorder="1" applyAlignment="1">
      <alignment horizontal="center" vertical="center"/>
    </xf>
    <xf numFmtId="165" fontId="3" fillId="3" borderId="9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A3C5-26D5-4E31-8B23-E723EA9AFE37}">
  <dimension ref="A1:O45"/>
  <sheetViews>
    <sheetView tabSelected="1" view="pageBreakPreview" zoomScale="60" zoomScaleNormal="60" workbookViewId="0">
      <selection activeCell="D34" sqref="D34"/>
    </sheetView>
  </sheetViews>
  <sheetFormatPr defaultRowHeight="14.4" x14ac:dyDescent="0.3"/>
  <cols>
    <col min="2" max="2" width="47" customWidth="1"/>
    <col min="3" max="3" width="16.33203125" customWidth="1"/>
    <col min="4" max="4" width="17" customWidth="1"/>
    <col min="5" max="6" width="10.88671875" customWidth="1"/>
    <col min="7" max="8" width="10.44140625" customWidth="1"/>
    <col min="9" max="9" width="10.5546875" customWidth="1"/>
    <col min="10" max="10" width="14.33203125" customWidth="1"/>
    <col min="11" max="11" width="14.5546875" customWidth="1"/>
    <col min="12" max="12" width="17.6640625" customWidth="1"/>
    <col min="13" max="13" width="20.5546875" customWidth="1"/>
    <col min="14" max="14" width="13.6640625" customWidth="1"/>
    <col min="15" max="15" width="16" customWidth="1"/>
  </cols>
  <sheetData>
    <row r="1" spans="1:15" ht="17.399999999999999" x14ac:dyDescent="0.3">
      <c r="A1" s="1"/>
      <c r="B1" s="1"/>
      <c r="C1" s="1"/>
      <c r="D1" s="2"/>
      <c r="E1" s="2"/>
      <c r="F1" s="2"/>
    </row>
    <row r="2" spans="1:15" ht="17.399999999999999" x14ac:dyDescent="0.3">
      <c r="A2" s="1"/>
      <c r="B2" s="1"/>
      <c r="C2" s="1"/>
      <c r="D2" s="52"/>
      <c r="E2" s="52"/>
      <c r="F2" s="52"/>
      <c r="G2" s="52"/>
      <c r="H2" s="52"/>
      <c r="I2" s="52"/>
      <c r="J2" s="53"/>
      <c r="K2" s="53"/>
      <c r="L2" s="53"/>
      <c r="M2" s="53"/>
      <c r="N2" s="53"/>
      <c r="O2" s="53"/>
    </row>
    <row r="3" spans="1:15" ht="25.2" customHeight="1" x14ac:dyDescent="0.3">
      <c r="A3" s="54"/>
      <c r="B3" s="54" t="s">
        <v>0</v>
      </c>
      <c r="C3" s="55" t="s">
        <v>1</v>
      </c>
      <c r="D3" s="58" t="s">
        <v>40</v>
      </c>
      <c r="E3" s="59" t="s">
        <v>43</v>
      </c>
      <c r="F3" s="60"/>
      <c r="G3" s="60"/>
      <c r="H3" s="60"/>
      <c r="I3" s="60"/>
      <c r="J3" s="60"/>
      <c r="K3" s="60"/>
      <c r="L3" s="60"/>
      <c r="M3" s="60"/>
      <c r="N3" s="61"/>
      <c r="O3" s="62" t="s">
        <v>2</v>
      </c>
    </row>
    <row r="4" spans="1:15" ht="25.2" customHeight="1" x14ac:dyDescent="0.3">
      <c r="A4" s="54"/>
      <c r="B4" s="54"/>
      <c r="C4" s="56"/>
      <c r="D4" s="58"/>
      <c r="E4" s="65" t="s">
        <v>3</v>
      </c>
      <c r="F4" s="66"/>
      <c r="G4" s="66"/>
      <c r="H4" s="66"/>
      <c r="I4" s="66"/>
      <c r="J4" s="67"/>
      <c r="K4" s="68" t="s">
        <v>23</v>
      </c>
      <c r="L4" s="70" t="s">
        <v>16</v>
      </c>
      <c r="M4" s="70"/>
      <c r="N4" s="70"/>
      <c r="O4" s="63"/>
    </row>
    <row r="5" spans="1:15" ht="37.200000000000003" customHeight="1" x14ac:dyDescent="0.3">
      <c r="A5" s="54"/>
      <c r="B5" s="54"/>
      <c r="C5" s="57"/>
      <c r="D5" s="58"/>
      <c r="E5" s="38" t="s">
        <v>5</v>
      </c>
      <c r="F5" s="38" t="s">
        <v>6</v>
      </c>
      <c r="G5" s="38" t="s">
        <v>7</v>
      </c>
      <c r="H5" s="38" t="s">
        <v>33</v>
      </c>
      <c r="I5" s="38" t="s">
        <v>27</v>
      </c>
      <c r="J5" s="25" t="s">
        <v>4</v>
      </c>
      <c r="K5" s="69"/>
      <c r="L5" s="3" t="s">
        <v>17</v>
      </c>
      <c r="M5" s="3" t="s">
        <v>18</v>
      </c>
      <c r="N5" s="39" t="s">
        <v>4</v>
      </c>
      <c r="O5" s="64"/>
    </row>
    <row r="6" spans="1:15" ht="17.399999999999999" x14ac:dyDescent="0.3">
      <c r="A6" s="4"/>
      <c r="B6" s="33" t="s">
        <v>8</v>
      </c>
      <c r="C6" s="5"/>
      <c r="D6" s="6"/>
      <c r="E6" s="6"/>
      <c r="F6" s="6"/>
      <c r="G6" s="6"/>
      <c r="H6" s="6"/>
      <c r="I6" s="6"/>
      <c r="J6" s="7"/>
      <c r="K6" s="37"/>
      <c r="L6" s="8"/>
      <c r="M6" s="13"/>
      <c r="N6" s="13"/>
      <c r="O6" s="9"/>
    </row>
    <row r="7" spans="1:15" ht="17.399999999999999" x14ac:dyDescent="0.3">
      <c r="A7" s="26">
        <v>1</v>
      </c>
      <c r="B7" s="19" t="s">
        <v>26</v>
      </c>
      <c r="C7" s="23">
        <v>3</v>
      </c>
      <c r="D7" s="11">
        <v>153366</v>
      </c>
      <c r="E7" s="36" t="s">
        <v>19</v>
      </c>
      <c r="F7" s="36">
        <v>427</v>
      </c>
      <c r="G7" s="36">
        <v>307</v>
      </c>
      <c r="H7" s="36">
        <v>361</v>
      </c>
      <c r="I7" s="36">
        <v>636</v>
      </c>
      <c r="J7" s="31">
        <f>SUM(E7:I7)</f>
        <v>1731</v>
      </c>
      <c r="K7" s="36" t="s">
        <v>19</v>
      </c>
      <c r="L7" s="36" t="s">
        <v>19</v>
      </c>
      <c r="M7" s="36">
        <v>220</v>
      </c>
      <c r="N7" s="36">
        <f>M7</f>
        <v>220</v>
      </c>
      <c r="O7" s="11">
        <f>D7+J7-N7</f>
        <v>154877</v>
      </c>
    </row>
    <row r="8" spans="1:15" ht="16.5" customHeight="1" x14ac:dyDescent="0.3">
      <c r="A8" s="26">
        <v>2</v>
      </c>
      <c r="B8" s="45" t="s">
        <v>11</v>
      </c>
      <c r="C8" s="23">
        <v>1</v>
      </c>
      <c r="D8" s="11">
        <v>4001</v>
      </c>
      <c r="E8" s="36" t="s">
        <v>19</v>
      </c>
      <c r="F8" s="36">
        <v>718</v>
      </c>
      <c r="G8" s="36">
        <v>614</v>
      </c>
      <c r="H8" s="36">
        <v>518</v>
      </c>
      <c r="I8" s="36">
        <v>491</v>
      </c>
      <c r="J8" s="31">
        <f>SUM(E8:I8)</f>
        <v>2341</v>
      </c>
      <c r="K8" s="36" t="s">
        <v>19</v>
      </c>
      <c r="L8" s="36" t="s">
        <v>19</v>
      </c>
      <c r="M8" s="36">
        <v>275</v>
      </c>
      <c r="N8" s="36">
        <f>M8</f>
        <v>275</v>
      </c>
      <c r="O8" s="11">
        <f>D8+J8-N8</f>
        <v>6067</v>
      </c>
    </row>
    <row r="9" spans="1:15" ht="17.399999999999999" x14ac:dyDescent="0.3">
      <c r="A9" s="26">
        <v>3</v>
      </c>
      <c r="B9" s="19" t="s">
        <v>34</v>
      </c>
      <c r="C9" s="23">
        <v>2</v>
      </c>
      <c r="D9" s="11">
        <v>45198</v>
      </c>
      <c r="E9" s="36">
        <v>145</v>
      </c>
      <c r="F9" s="36">
        <v>393</v>
      </c>
      <c r="G9" s="36">
        <v>352</v>
      </c>
      <c r="H9" s="36">
        <v>481</v>
      </c>
      <c r="I9" s="36">
        <v>566</v>
      </c>
      <c r="J9" s="31">
        <f>SUM(E9:I9)</f>
        <v>1937</v>
      </c>
      <c r="K9" s="36" t="s">
        <v>19</v>
      </c>
      <c r="L9" s="36" t="s">
        <v>19</v>
      </c>
      <c r="M9" s="36">
        <v>250</v>
      </c>
      <c r="N9" s="36">
        <f>M9</f>
        <v>250</v>
      </c>
      <c r="O9" s="11">
        <f>D9+J9-N9</f>
        <v>46885</v>
      </c>
    </row>
    <row r="10" spans="1:15" ht="16.5" customHeight="1" x14ac:dyDescent="0.3">
      <c r="A10" s="26">
        <v>4</v>
      </c>
      <c r="B10" s="32" t="s">
        <v>9</v>
      </c>
      <c r="C10" s="23"/>
      <c r="D10" s="11">
        <v>7415</v>
      </c>
      <c r="E10" s="36" t="s">
        <v>19</v>
      </c>
      <c r="F10" s="36" t="s">
        <v>19</v>
      </c>
      <c r="G10" s="36" t="s">
        <v>19</v>
      </c>
      <c r="H10" s="36" t="s">
        <v>19</v>
      </c>
      <c r="I10" s="36" t="s">
        <v>19</v>
      </c>
      <c r="J10" s="36" t="s">
        <v>19</v>
      </c>
      <c r="K10" s="36" t="s">
        <v>19</v>
      </c>
      <c r="L10" s="36" t="s">
        <v>19</v>
      </c>
      <c r="M10" s="36">
        <v>30</v>
      </c>
      <c r="N10" s="36">
        <f>M10</f>
        <v>30</v>
      </c>
      <c r="O10" s="11">
        <f>D10-N10</f>
        <v>7385</v>
      </c>
    </row>
    <row r="11" spans="1:15" ht="17.399999999999999" x14ac:dyDescent="0.3">
      <c r="A11" s="27"/>
      <c r="B11" s="12" t="s">
        <v>12</v>
      </c>
      <c r="C11" s="12"/>
      <c r="D11" s="17"/>
      <c r="E11" s="16"/>
      <c r="F11" s="16"/>
      <c r="G11" s="17"/>
      <c r="H11" s="17"/>
      <c r="I11" s="17"/>
      <c r="J11" s="15"/>
      <c r="K11" s="15"/>
      <c r="L11" s="15"/>
      <c r="M11" s="34"/>
      <c r="N11" s="40"/>
      <c r="O11" s="17"/>
    </row>
    <row r="12" spans="1:15" ht="17.399999999999999" x14ac:dyDescent="0.3">
      <c r="A12" s="26">
        <v>1</v>
      </c>
      <c r="B12" s="19" t="s">
        <v>35</v>
      </c>
      <c r="C12" s="23">
        <v>1</v>
      </c>
      <c r="D12" s="11">
        <v>1254</v>
      </c>
      <c r="E12" s="36" t="s">
        <v>19</v>
      </c>
      <c r="F12" s="36" t="s">
        <v>19</v>
      </c>
      <c r="G12" s="36" t="s">
        <v>19</v>
      </c>
      <c r="H12" s="36" t="s">
        <v>19</v>
      </c>
      <c r="I12" s="36" t="s">
        <v>19</v>
      </c>
      <c r="J12" s="36" t="s">
        <v>19</v>
      </c>
      <c r="K12" s="36" t="s">
        <v>19</v>
      </c>
      <c r="L12" s="36" t="s">
        <v>19</v>
      </c>
      <c r="M12" s="36" t="s">
        <v>19</v>
      </c>
      <c r="N12" s="36" t="s">
        <v>19</v>
      </c>
      <c r="O12" s="11">
        <f>D12</f>
        <v>1254</v>
      </c>
    </row>
    <row r="13" spans="1:15" ht="17.399999999999999" x14ac:dyDescent="0.3">
      <c r="A13" s="27"/>
      <c r="B13" s="12" t="s">
        <v>13</v>
      </c>
      <c r="C13" s="12"/>
      <c r="D13" s="17"/>
      <c r="E13" s="16"/>
      <c r="F13" s="16"/>
      <c r="G13" s="17"/>
      <c r="H13" s="17"/>
      <c r="I13" s="17"/>
      <c r="J13" s="15"/>
      <c r="K13" s="15"/>
      <c r="L13" s="15"/>
      <c r="M13" s="17"/>
      <c r="N13" s="17"/>
      <c r="O13" s="17"/>
    </row>
    <row r="14" spans="1:15" ht="17.399999999999999" x14ac:dyDescent="0.3">
      <c r="A14" s="26">
        <v>1</v>
      </c>
      <c r="B14" s="18" t="s">
        <v>39</v>
      </c>
      <c r="C14" s="10"/>
      <c r="D14" s="11">
        <v>4643</v>
      </c>
      <c r="E14" s="36" t="s">
        <v>19</v>
      </c>
      <c r="F14" s="36" t="s">
        <v>19</v>
      </c>
      <c r="G14" s="36" t="s">
        <v>19</v>
      </c>
      <c r="H14" s="36" t="s">
        <v>19</v>
      </c>
      <c r="I14" s="36" t="s">
        <v>19</v>
      </c>
      <c r="J14" s="36" t="str">
        <f>E14</f>
        <v>-</v>
      </c>
      <c r="K14" s="36" t="s">
        <v>19</v>
      </c>
      <c r="L14" s="36" t="s">
        <v>19</v>
      </c>
      <c r="M14" s="36" t="s">
        <v>19</v>
      </c>
      <c r="N14" s="36" t="str">
        <f>M14</f>
        <v>-</v>
      </c>
      <c r="O14" s="11">
        <f t="shared" ref="O14:O20" si="0">D14</f>
        <v>4643</v>
      </c>
    </row>
    <row r="15" spans="1:15" ht="17.399999999999999" x14ac:dyDescent="0.3">
      <c r="A15" s="26">
        <v>2</v>
      </c>
      <c r="B15" s="10" t="s">
        <v>31</v>
      </c>
      <c r="C15" s="10"/>
      <c r="D15" s="11">
        <v>1752</v>
      </c>
      <c r="E15" s="36" t="s">
        <v>19</v>
      </c>
      <c r="F15" s="36" t="s">
        <v>19</v>
      </c>
      <c r="G15" s="36" t="s">
        <v>19</v>
      </c>
      <c r="H15" s="36" t="s">
        <v>19</v>
      </c>
      <c r="I15" s="36" t="s">
        <v>19</v>
      </c>
      <c r="J15" s="36" t="str">
        <f>E15</f>
        <v>-</v>
      </c>
      <c r="K15" s="36" t="s">
        <v>19</v>
      </c>
      <c r="L15" s="36" t="s">
        <v>19</v>
      </c>
      <c r="M15" s="36">
        <v>210</v>
      </c>
      <c r="N15" s="36">
        <f>M15</f>
        <v>210</v>
      </c>
      <c r="O15" s="11">
        <f>D15-N15</f>
        <v>1542</v>
      </c>
    </row>
    <row r="16" spans="1:15" ht="17.399999999999999" x14ac:dyDescent="0.3">
      <c r="A16" s="26"/>
      <c r="B16" s="10" t="s">
        <v>36</v>
      </c>
      <c r="C16" s="10"/>
      <c r="D16" s="11">
        <v>2375</v>
      </c>
      <c r="E16" s="36" t="s">
        <v>19</v>
      </c>
      <c r="F16" s="36" t="s">
        <v>19</v>
      </c>
      <c r="G16" s="36" t="s">
        <v>19</v>
      </c>
      <c r="H16" s="36" t="s">
        <v>19</v>
      </c>
      <c r="I16" s="36" t="s">
        <v>19</v>
      </c>
      <c r="J16" s="36" t="s">
        <v>19</v>
      </c>
      <c r="K16" s="36" t="s">
        <v>19</v>
      </c>
      <c r="L16" s="36" t="s">
        <v>19</v>
      </c>
      <c r="M16" s="36" t="s">
        <v>19</v>
      </c>
      <c r="N16" s="36" t="s">
        <v>19</v>
      </c>
      <c r="O16" s="11">
        <f t="shared" si="0"/>
        <v>2375</v>
      </c>
    </row>
    <row r="17" spans="1:15" ht="17.399999999999999" x14ac:dyDescent="0.3">
      <c r="A17" s="26">
        <v>3</v>
      </c>
      <c r="B17" s="10" t="s">
        <v>32</v>
      </c>
      <c r="C17" s="10"/>
      <c r="D17" s="11">
        <v>693</v>
      </c>
      <c r="E17" s="36" t="s">
        <v>19</v>
      </c>
      <c r="F17" s="36" t="s">
        <v>19</v>
      </c>
      <c r="G17" s="36" t="s">
        <v>19</v>
      </c>
      <c r="H17" s="36" t="s">
        <v>19</v>
      </c>
      <c r="I17" s="36" t="s">
        <v>19</v>
      </c>
      <c r="J17" s="36" t="str">
        <f>G17</f>
        <v>-</v>
      </c>
      <c r="K17" s="36" t="s">
        <v>19</v>
      </c>
      <c r="L17" s="36" t="s">
        <v>19</v>
      </c>
      <c r="M17" s="36" t="s">
        <v>19</v>
      </c>
      <c r="N17" s="36" t="str">
        <f>M17</f>
        <v>-</v>
      </c>
      <c r="O17" s="11">
        <f t="shared" si="0"/>
        <v>693</v>
      </c>
    </row>
    <row r="18" spans="1:15" ht="17.399999999999999" x14ac:dyDescent="0.3">
      <c r="A18" s="26">
        <v>4</v>
      </c>
      <c r="B18" s="10" t="s">
        <v>14</v>
      </c>
      <c r="C18" s="10"/>
      <c r="D18" s="11">
        <v>405</v>
      </c>
      <c r="E18" s="36" t="s">
        <v>19</v>
      </c>
      <c r="F18" s="36" t="s">
        <v>19</v>
      </c>
      <c r="G18" s="36" t="s">
        <v>19</v>
      </c>
      <c r="H18" s="36" t="s">
        <v>19</v>
      </c>
      <c r="I18" s="36" t="s">
        <v>19</v>
      </c>
      <c r="J18" s="36" t="s">
        <v>19</v>
      </c>
      <c r="K18" s="36" t="s">
        <v>19</v>
      </c>
      <c r="L18" s="36" t="s">
        <v>19</v>
      </c>
      <c r="M18" s="36" t="s">
        <v>19</v>
      </c>
      <c r="N18" s="36" t="s">
        <v>19</v>
      </c>
      <c r="O18" s="11">
        <f t="shared" si="0"/>
        <v>405</v>
      </c>
    </row>
    <row r="19" spans="1:15" ht="17.399999999999999" x14ac:dyDescent="0.3">
      <c r="A19" s="26"/>
      <c r="B19" s="10" t="s">
        <v>37</v>
      </c>
      <c r="C19" s="10"/>
      <c r="D19" s="11">
        <v>1341</v>
      </c>
      <c r="E19" s="36" t="s">
        <v>19</v>
      </c>
      <c r="F19" s="36" t="s">
        <v>19</v>
      </c>
      <c r="G19" s="36" t="s">
        <v>19</v>
      </c>
      <c r="H19" s="36" t="s">
        <v>19</v>
      </c>
      <c r="I19" s="36" t="s">
        <v>19</v>
      </c>
      <c r="J19" s="36" t="s">
        <v>19</v>
      </c>
      <c r="K19" s="36" t="s">
        <v>19</v>
      </c>
      <c r="L19" s="36" t="s">
        <v>19</v>
      </c>
      <c r="M19" s="36" t="s">
        <v>19</v>
      </c>
      <c r="N19" s="36" t="s">
        <v>19</v>
      </c>
      <c r="O19" s="11">
        <f t="shared" si="0"/>
        <v>1341</v>
      </c>
    </row>
    <row r="20" spans="1:15" ht="17.399999999999999" x14ac:dyDescent="0.3">
      <c r="A20" s="26">
        <v>5</v>
      </c>
      <c r="B20" s="10" t="s">
        <v>25</v>
      </c>
      <c r="C20" s="10"/>
      <c r="D20" s="11">
        <v>606</v>
      </c>
      <c r="E20" s="36" t="s">
        <v>19</v>
      </c>
      <c r="F20" s="36" t="s">
        <v>19</v>
      </c>
      <c r="G20" s="36" t="s">
        <v>19</v>
      </c>
      <c r="H20" s="36" t="s">
        <v>19</v>
      </c>
      <c r="I20" s="36" t="s">
        <v>19</v>
      </c>
      <c r="J20" s="36" t="s">
        <v>19</v>
      </c>
      <c r="K20" s="36" t="s">
        <v>19</v>
      </c>
      <c r="L20" s="36" t="s">
        <v>19</v>
      </c>
      <c r="M20" s="36" t="s">
        <v>19</v>
      </c>
      <c r="N20" s="36" t="str">
        <f>M20</f>
        <v>-</v>
      </c>
      <c r="O20" s="11">
        <f t="shared" si="0"/>
        <v>606</v>
      </c>
    </row>
    <row r="21" spans="1:15" ht="17.399999999999999" x14ac:dyDescent="0.3">
      <c r="A21" s="28"/>
      <c r="B21" s="20" t="s">
        <v>15</v>
      </c>
      <c r="C21" s="20"/>
      <c r="D21" s="42"/>
      <c r="E21" s="35"/>
      <c r="F21" s="35"/>
      <c r="G21" s="35"/>
      <c r="H21" s="35"/>
      <c r="I21" s="35"/>
      <c r="J21" s="42"/>
      <c r="K21" s="43"/>
      <c r="L21" s="43"/>
      <c r="M21" s="13"/>
      <c r="N21" s="43"/>
      <c r="O21" s="42"/>
    </row>
    <row r="22" spans="1:15" ht="17.399999999999999" x14ac:dyDescent="0.3">
      <c r="A22" s="29">
        <v>1</v>
      </c>
      <c r="B22" s="44" t="s">
        <v>26</v>
      </c>
      <c r="C22" s="19">
        <v>10</v>
      </c>
      <c r="D22" s="11">
        <v>16702</v>
      </c>
      <c r="E22" s="36">
        <v>30</v>
      </c>
      <c r="F22" s="36">
        <v>30</v>
      </c>
      <c r="G22" s="36">
        <v>40</v>
      </c>
      <c r="H22" s="36">
        <v>60</v>
      </c>
      <c r="I22" s="36">
        <v>656</v>
      </c>
      <c r="J22" s="31">
        <f>SUM(E22:I22)</f>
        <v>816</v>
      </c>
      <c r="K22" s="36" t="s">
        <v>19</v>
      </c>
      <c r="L22" s="36" t="s">
        <v>19</v>
      </c>
      <c r="M22" s="36" t="s">
        <v>19</v>
      </c>
      <c r="N22" s="36" t="s">
        <v>19</v>
      </c>
      <c r="O22" s="11">
        <f>D22+J22</f>
        <v>17518</v>
      </c>
    </row>
    <row r="23" spans="1:15" ht="17.399999999999999" x14ac:dyDescent="0.3">
      <c r="A23" s="29">
        <v>2</v>
      </c>
      <c r="B23" s="32" t="s">
        <v>11</v>
      </c>
      <c r="C23" s="19">
        <v>3</v>
      </c>
      <c r="D23" s="11">
        <v>11762</v>
      </c>
      <c r="E23" s="36">
        <v>10</v>
      </c>
      <c r="F23" s="36">
        <v>20</v>
      </c>
      <c r="G23" s="36">
        <v>10</v>
      </c>
      <c r="H23" s="36">
        <v>20</v>
      </c>
      <c r="I23" s="36">
        <v>121</v>
      </c>
      <c r="J23" s="31">
        <f>SUM(E23:I23)</f>
        <v>181</v>
      </c>
      <c r="K23" s="36" t="s">
        <v>19</v>
      </c>
      <c r="L23" s="36" t="s">
        <v>19</v>
      </c>
      <c r="M23" s="36" t="s">
        <v>19</v>
      </c>
      <c r="N23" s="36" t="s">
        <v>19</v>
      </c>
      <c r="O23" s="11">
        <f>D23+J23</f>
        <v>11943</v>
      </c>
    </row>
    <row r="24" spans="1:15" ht="17.399999999999999" x14ac:dyDescent="0.3">
      <c r="A24" s="29">
        <v>3</v>
      </c>
      <c r="B24" s="32" t="s">
        <v>10</v>
      </c>
      <c r="C24" s="19">
        <v>3</v>
      </c>
      <c r="D24" s="14">
        <v>5785</v>
      </c>
      <c r="E24" s="36">
        <v>20</v>
      </c>
      <c r="F24" s="36" t="s">
        <v>19</v>
      </c>
      <c r="G24" s="36" t="s">
        <v>19</v>
      </c>
      <c r="H24" s="36">
        <v>30</v>
      </c>
      <c r="I24" s="36">
        <v>186</v>
      </c>
      <c r="J24" s="31">
        <f>SUM(E24:I24)</f>
        <v>236</v>
      </c>
      <c r="K24" s="36" t="s">
        <v>19</v>
      </c>
      <c r="L24" s="36" t="s">
        <v>19</v>
      </c>
      <c r="M24" s="36" t="s">
        <v>19</v>
      </c>
      <c r="N24" s="36" t="s">
        <v>19</v>
      </c>
      <c r="O24" s="11">
        <f>D24+J24</f>
        <v>6021</v>
      </c>
    </row>
    <row r="25" spans="1:15" ht="17.399999999999999" x14ac:dyDescent="0.3">
      <c r="A25" s="29">
        <v>4</v>
      </c>
      <c r="B25" s="44" t="s">
        <v>38</v>
      </c>
      <c r="C25" s="19">
        <v>2</v>
      </c>
      <c r="D25" s="11">
        <v>521</v>
      </c>
      <c r="E25" s="36">
        <v>10</v>
      </c>
      <c r="F25" s="36" t="s">
        <v>19</v>
      </c>
      <c r="G25" s="36">
        <v>10</v>
      </c>
      <c r="H25" s="36">
        <v>20</v>
      </c>
      <c r="I25" s="36">
        <v>241</v>
      </c>
      <c r="J25" s="31">
        <f>SUM(E25:I25)</f>
        <v>281</v>
      </c>
      <c r="K25" s="36" t="s">
        <v>19</v>
      </c>
      <c r="L25" s="36" t="s">
        <v>19</v>
      </c>
      <c r="M25" s="36" t="s">
        <v>19</v>
      </c>
      <c r="N25" s="36" t="s">
        <v>19</v>
      </c>
      <c r="O25" s="11">
        <f>D25+J25</f>
        <v>802</v>
      </c>
    </row>
    <row r="26" spans="1:15" ht="17.399999999999999" x14ac:dyDescent="0.3">
      <c r="A26" s="29">
        <v>5</v>
      </c>
      <c r="B26" s="32" t="s">
        <v>9</v>
      </c>
      <c r="C26" s="21"/>
      <c r="D26" s="11">
        <v>10762</v>
      </c>
      <c r="E26" s="36" t="s">
        <v>19</v>
      </c>
      <c r="F26" s="36" t="s">
        <v>19</v>
      </c>
      <c r="G26" s="36" t="s">
        <v>19</v>
      </c>
      <c r="H26" s="36" t="s">
        <v>19</v>
      </c>
      <c r="I26" s="36" t="s">
        <v>19</v>
      </c>
      <c r="J26" s="36" t="s">
        <v>19</v>
      </c>
      <c r="K26" s="36" t="s">
        <v>19</v>
      </c>
      <c r="L26" s="36" t="s">
        <v>19</v>
      </c>
      <c r="M26" s="36" t="s">
        <v>19</v>
      </c>
      <c r="N26" s="36" t="s">
        <v>19</v>
      </c>
      <c r="O26" s="11">
        <f>D26</f>
        <v>10762</v>
      </c>
    </row>
    <row r="27" spans="1:15" ht="17.399999999999999" x14ac:dyDescent="0.3">
      <c r="A27" s="29">
        <v>6</v>
      </c>
      <c r="B27" s="44" t="s">
        <v>35</v>
      </c>
      <c r="C27" s="19"/>
      <c r="D27" s="11">
        <v>1243</v>
      </c>
      <c r="E27" s="36" t="s">
        <v>19</v>
      </c>
      <c r="F27" s="36" t="s">
        <v>19</v>
      </c>
      <c r="G27" s="36" t="s">
        <v>19</v>
      </c>
      <c r="H27" s="36" t="s">
        <v>19</v>
      </c>
      <c r="I27" s="36" t="s">
        <v>19</v>
      </c>
      <c r="J27" s="36" t="s">
        <v>19</v>
      </c>
      <c r="K27" s="36" t="s">
        <v>19</v>
      </c>
      <c r="L27" s="36" t="s">
        <v>19</v>
      </c>
      <c r="M27" s="36" t="s">
        <v>19</v>
      </c>
      <c r="N27" s="36" t="s">
        <v>19</v>
      </c>
      <c r="O27" s="11">
        <f>D27</f>
        <v>1243</v>
      </c>
    </row>
    <row r="28" spans="1:15" ht="18.600000000000001" customHeight="1" x14ac:dyDescent="0.3">
      <c r="A28" s="29">
        <v>7</v>
      </c>
      <c r="B28" s="44" t="s">
        <v>28</v>
      </c>
      <c r="C28" s="19"/>
      <c r="D28" s="11">
        <v>91</v>
      </c>
      <c r="E28" s="36" t="s">
        <v>19</v>
      </c>
      <c r="F28" s="36" t="s">
        <v>19</v>
      </c>
      <c r="G28" s="36" t="s">
        <v>19</v>
      </c>
      <c r="H28" s="36" t="s">
        <v>19</v>
      </c>
      <c r="I28" s="36" t="s">
        <v>19</v>
      </c>
      <c r="J28" s="36" t="s">
        <v>19</v>
      </c>
      <c r="K28" s="36" t="s">
        <v>19</v>
      </c>
      <c r="L28" s="36" t="s">
        <v>19</v>
      </c>
      <c r="M28" s="36" t="s">
        <v>19</v>
      </c>
      <c r="N28" s="36" t="s">
        <v>19</v>
      </c>
      <c r="O28" s="11">
        <f>D28</f>
        <v>91</v>
      </c>
    </row>
    <row r="29" spans="1:15" ht="17.399999999999999" x14ac:dyDescent="0.3">
      <c r="A29" s="50" t="s">
        <v>20</v>
      </c>
      <c r="B29" s="51"/>
      <c r="C29" s="22">
        <f>SUM(C7:C28)</f>
        <v>25</v>
      </c>
      <c r="D29" s="22">
        <v>269915</v>
      </c>
      <c r="E29" s="30">
        <f t="shared" ref="E29:I29" si="1">SUM(E7:E28)</f>
        <v>215</v>
      </c>
      <c r="F29" s="22">
        <f t="shared" si="1"/>
        <v>1588</v>
      </c>
      <c r="G29" s="22">
        <f t="shared" si="1"/>
        <v>1333</v>
      </c>
      <c r="H29" s="22">
        <f t="shared" si="1"/>
        <v>1490</v>
      </c>
      <c r="I29" s="22">
        <f t="shared" si="1"/>
        <v>2897</v>
      </c>
      <c r="J29" s="22">
        <f>SUM(J7:J28)</f>
        <v>7523</v>
      </c>
      <c r="K29" s="46" t="s">
        <v>19</v>
      </c>
      <c r="L29" s="46" t="s">
        <v>19</v>
      </c>
      <c r="M29" s="22">
        <f>SUM(M7:M28)</f>
        <v>985</v>
      </c>
      <c r="N29" s="22">
        <f>SUM(N7:N28)</f>
        <v>985</v>
      </c>
      <c r="O29" s="22">
        <f>SUM(O7:O28)</f>
        <v>276453</v>
      </c>
    </row>
    <row r="30" spans="1:15" ht="17.399999999999999" x14ac:dyDescent="0.3">
      <c r="A30" s="1"/>
      <c r="B30" s="1"/>
      <c r="C30" s="1"/>
      <c r="D30" s="2"/>
      <c r="E30" s="2"/>
      <c r="F30" s="2"/>
      <c r="J30" s="24"/>
    </row>
    <row r="31" spans="1:15" ht="17.399999999999999" x14ac:dyDescent="0.3">
      <c r="A31" s="47"/>
      <c r="B31" s="49" t="s">
        <v>21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1" t="s">
        <v>44</v>
      </c>
      <c r="N31" s="41"/>
      <c r="O31" s="41"/>
    </row>
    <row r="32" spans="1:15" ht="17.399999999999999" x14ac:dyDescent="0.3">
      <c r="A32" s="47"/>
      <c r="B32" s="49" t="s">
        <v>22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1" t="s">
        <v>24</v>
      </c>
      <c r="N32" s="41"/>
      <c r="O32" s="41"/>
    </row>
    <row r="33" spans="1:15" ht="17.399999999999999" x14ac:dyDescent="0.3">
      <c r="A33" s="47"/>
      <c r="B33" s="49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1"/>
      <c r="N33" s="41"/>
      <c r="O33" s="41"/>
    </row>
    <row r="34" spans="1:15" ht="17.399999999999999" x14ac:dyDescent="0.3">
      <c r="A34" s="47"/>
      <c r="B34" s="49"/>
      <c r="C34" s="41"/>
      <c r="D34" s="41"/>
      <c r="E34" s="41"/>
      <c r="F34" s="41"/>
      <c r="G34" s="41"/>
      <c r="H34" s="41"/>
      <c r="I34" s="41"/>
      <c r="J34" s="48"/>
      <c r="K34" s="41"/>
      <c r="L34" s="41"/>
      <c r="M34" s="1"/>
      <c r="N34" s="41"/>
      <c r="O34" s="41"/>
    </row>
    <row r="35" spans="1:15" ht="17.399999999999999" x14ac:dyDescent="0.3">
      <c r="A35" s="47"/>
      <c r="B35" s="49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1"/>
      <c r="N35" s="41"/>
      <c r="O35" s="41"/>
    </row>
    <row r="36" spans="1:15" ht="17.399999999999999" x14ac:dyDescent="0.3">
      <c r="A36" s="47"/>
      <c r="B36" s="49" t="s">
        <v>29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1" t="s">
        <v>41</v>
      </c>
      <c r="N36" s="41"/>
      <c r="O36" s="41"/>
    </row>
    <row r="37" spans="1:15" ht="17.399999999999999" x14ac:dyDescent="0.3">
      <c r="A37" s="47"/>
      <c r="B37" s="49" t="s">
        <v>30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1" t="s">
        <v>42</v>
      </c>
      <c r="N37" s="41"/>
      <c r="O37" s="41"/>
    </row>
    <row r="38" spans="1:15" x14ac:dyDescent="0.3">
      <c r="A38" s="47"/>
      <c r="B38" s="47"/>
    </row>
    <row r="45" spans="1:15" x14ac:dyDescent="0.3">
      <c r="J45">
        <f>2163+11138-7045</f>
        <v>6256</v>
      </c>
    </row>
  </sheetData>
  <mergeCells count="11">
    <mergeCell ref="A29:B29"/>
    <mergeCell ref="D2:O2"/>
    <mergeCell ref="A3:A5"/>
    <mergeCell ref="B3:B5"/>
    <mergeCell ref="C3:C5"/>
    <mergeCell ref="D3:D5"/>
    <mergeCell ref="E3:N3"/>
    <mergeCell ref="O3:O5"/>
    <mergeCell ref="E4:J4"/>
    <mergeCell ref="K4:K5"/>
    <mergeCell ref="L4:N4"/>
  </mergeCells>
  <pageMargins left="0.70866141732283472" right="0.70866141732283472" top="0.74803149606299213" bottom="0.74803149606299213" header="0.31496062992125984" footer="0.31496062992125984"/>
  <pageSetup paperSize="9" scale="5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Produksi BIB</cp:lastModifiedBy>
  <cp:lastPrinted>2026-08-04T02:23:34Z</cp:lastPrinted>
  <dcterms:created xsi:type="dcterms:W3CDTF">2020-01-20T01:03:00Z</dcterms:created>
  <dcterms:modified xsi:type="dcterms:W3CDTF">2026-08-04T03:00:25Z</dcterms:modified>
</cp:coreProperties>
</file>